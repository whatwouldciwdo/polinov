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gung.wijaya\Downloads\"/>
    </mc:Choice>
  </mc:AlternateContent>
  <xr:revisionPtr revIDLastSave="0" documentId="13_ncr:1_{0AF5AB23-9DC1-4CF5-95A3-C8382CC13D8E}" xr6:coauthVersionLast="47" xr6:coauthVersionMax="47" xr10:uidLastSave="{00000000-0000-0000-0000-000000000000}"/>
  <bookViews>
    <workbookView xWindow="24" yWindow="744" windowWidth="23016" windowHeight="13656" xr2:uid="{00000000-000D-0000-FFFF-FFFF00000000}"/>
  </bookViews>
  <sheets>
    <sheet name="JURI" sheetId="41" r:id="rId1"/>
    <sheet name="Referensi" sheetId="39" r:id="rId2"/>
  </sheets>
  <definedNames>
    <definedName name="_xlnm._FilterDatabase" localSheetId="0" hidden="1">JURI!$A$1:$L$10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1" l="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34" i="41"/>
  <c r="I35" i="41"/>
  <c r="I36" i="41"/>
  <c r="I37" i="41"/>
  <c r="I38" i="41"/>
  <c r="I39" i="41"/>
  <c r="I40" i="41"/>
  <c r="I41" i="41"/>
  <c r="I42" i="41"/>
  <c r="I43" i="41"/>
  <c r="I44" i="41"/>
  <c r="I45" i="41"/>
  <c r="I46" i="41"/>
  <c r="I47" i="41"/>
  <c r="I48" i="41"/>
  <c r="I49" i="41"/>
  <c r="I50" i="41"/>
  <c r="I51" i="41"/>
  <c r="I52" i="41"/>
  <c r="I53" i="41"/>
  <c r="I54" i="41"/>
  <c r="I55" i="41"/>
  <c r="I56" i="41"/>
  <c r="I57" i="41"/>
  <c r="I58" i="41"/>
  <c r="I59" i="41"/>
  <c r="I60" i="41"/>
  <c r="I61" i="41"/>
  <c r="I62" i="41"/>
  <c r="I63" i="41"/>
  <c r="I64" i="41"/>
  <c r="I65" i="41"/>
  <c r="I66" i="41"/>
  <c r="I4" i="41"/>
  <c r="K60" i="41" l="1"/>
  <c r="K53" i="41"/>
  <c r="K46" i="41"/>
  <c r="K39" i="41"/>
  <c r="K32" i="41"/>
  <c r="K25" i="41"/>
  <c r="K18" i="41"/>
  <c r="K11" i="41"/>
  <c r="K4" i="41"/>
</calcChain>
</file>

<file path=xl/sharedStrings.xml><?xml version="1.0" encoding="utf-8"?>
<sst xmlns="http://schemas.openxmlformats.org/spreadsheetml/2006/main" count="291" uniqueCount="89">
  <si>
    <t>No.</t>
  </si>
  <si>
    <t>Unit</t>
  </si>
  <si>
    <t>Judul</t>
  </si>
  <si>
    <t>Link</t>
  </si>
  <si>
    <t>Penilaian</t>
  </si>
  <si>
    <t>Kriteria Penilaian</t>
  </si>
  <si>
    <t>Fokus Penilaian</t>
  </si>
  <si>
    <t>Indikator Penilaian</t>
  </si>
  <si>
    <t>Deskripsi Penilaian</t>
  </si>
  <si>
    <t>Nilai</t>
  </si>
  <si>
    <t>Bobot</t>
  </si>
  <si>
    <t>Total Nilai</t>
  </si>
  <si>
    <t>Feedback</t>
  </si>
  <si>
    <t>Kejelasan Masalah/ Peluang</t>
  </si>
  <si>
    <t>Problem/ opportunity statement, baseline, konteks unit</t>
  </si>
  <si>
    <t>Tingkat kejelasan masalah operasional PLN yang ingin diselesaikan, termasuk baseline kondisi awal dan urgensinya</t>
  </si>
  <si>
    <t>80: Masalah operasional PLN jelas, baseline kondisi awal lengkap, urgensi kuat dan relevan </t>
  </si>
  <si>
    <t>Kualitas Solusi</t>
  </si>
  <si>
    <t>Desain solusi, prinsip kerja, parameter teknis, pengujian, problem-solution fit</t>
  </si>
  <si>
    <t>Kelayakan teknis solusi, konsistensi desain dengan prinsip rekayasa, rasional teknis, serta level inovasi (novelty)</t>
  </si>
  <si>
    <t>60: Solusi cukup logis, parameter teknis ada namun pengujian dan problem-solution fit belum kuat</t>
  </si>
  <si>
    <t>Bukti Implementasi &amp; Kematangan (≥6 bulan)</t>
  </si>
  <si>
    <t>Bukti pemasangan, operasi, dan stabilitas</t>
  </si>
  <si>
    <t>Tingkat implementasi nyata dan kematangan inovasi di lapangan</t>
  </si>
  <si>
    <t>80: Sudah beroperasi stabil dalam kondisi lapangan</t>
  </si>
  <si>
    <t>Dampak Nyata &amp; Terukur (Value Realization)</t>
  </si>
  <si>
    <t>Efisiensi (penghematan)/reliability/revenue/K3L</t>
  </si>
  <si>
    <t>Kejelasan manfaat inovasi dan metode pengukuran dampaknya</t>
  </si>
  <si>
    <t>80: Dampak jelas dan terukur pada aspek efisiensi/reliability/revenue/K3L</t>
  </si>
  <si>
    <t>Kesiapan Replikasi / Komersialisasi</t>
  </si>
  <si>
    <t>Adopsi lintas unit dan potensi nilai ekonomi</t>
  </si>
  <si>
    <t>Potensi inovasi untuk direplikasi di unit lain dan/atau dikomersialisasikan</t>
  </si>
  <si>
    <t>60: Berpotensi direplikasi dengan penyesuaian tertentu</t>
  </si>
  <si>
    <t>Kepatuhan K3L, Regulasi, &amp; Risiko</t>
  </si>
  <si>
    <t>Keselamatan, lingkungan, kepatuhan internal</t>
  </si>
  <si>
    <t>Identifikasi risiko, kepatuhan terhadap K3L dan regulasi</t>
  </si>
  <si>
    <t>60: Risiko dan kepatuhan K3L diidentifikasi namun belum lengkap</t>
  </si>
  <si>
    <t>Kualitas Makalah &amp; Bukti Pendukung</t>
  </si>
  <si>
    <t>Struktur, data, keterlacakan</t>
  </si>
  <si>
    <t>Kualitas penulisan dan kelengkapan dokumen</t>
  </si>
  <si>
    <t>60: Dokumen cukup terstruktur, data tersedia namun keterlacakan terbatas</t>
  </si>
  <si>
    <t>80: Solusi layak teknis, desain konsisten dengan prinsip rekayasa, terdapat pengujian</t>
  </si>
  <si>
    <t>100: Dampak signifikan dan terukur kuat dengan metodologi valid serta terdokumentasi</t>
  </si>
  <si>
    <t>80: Mudah direplikasi di unit lain PLN</t>
  </si>
  <si>
    <t>80: Kepatuhan terhadap K3L dan regulasi baik, risiko terkelola</t>
  </si>
  <si>
    <t>80: Dokumen baik, data lengkap dan dapat ditelusuri</t>
  </si>
  <si>
    <t>60: Dampak terukur namun metode belum kuat atau belum konsisten</t>
  </si>
  <si>
    <t>40: Identifikasi risiko sangat terbatas</t>
  </si>
  <si>
    <t>60: Sudah terpasang dan beroperasi namun belum stabil</t>
  </si>
  <si>
    <t>40: Implementasi terbatas pada tahap uji coba/pilot</t>
  </si>
  <si>
    <t>100: Implementasi matang (&gt;6 bulan), stabil, dan terintegrasi dalam operasi PLN</t>
  </si>
  <si>
    <t>100: Sangat scalable lintas unit dan memiliki potensi komersialisasi yang jelas</t>
  </si>
  <si>
    <t>100: Problem/opportunity sangat tajam, didukung baseline data rinci, urgensi kritikal terhadap kinerja operasi PLN </t>
  </si>
  <si>
    <t>60: Masalah cukup jelas, baseline tersedia namun belum lengkap, urgensi mulai terlihat pada operasi unit </t>
  </si>
  <si>
    <t>No</t>
  </si>
  <si>
    <t>Deskripsi</t>
  </si>
  <si>
    <t>0: Tidak terdapat problem/opportunity statement, baseline, dan konteks unit </t>
  </si>
  <si>
    <t>20: Masalah operasional PLN tidak jelas, tanpa baseline kondisi awal dan urgensi </t>
  </si>
  <si>
    <t>40: Problem statement ada namun umum, baseline dan urgensi belum menggambarkan kondisi operasional PLN </t>
  </si>
  <si>
    <t>0: Tidak terdapat penjelasan desain solusi dan prinsip kerja </t>
  </si>
  <si>
    <t>20: Solusi tidak relevan dengan problem, tidak memenuhi prinsip rekayasa</t>
  </si>
  <si>
    <t>40: Desain solusi ada namun tidak konsisten dengan prinsip kerja dan parameter teknis</t>
  </si>
  <si>
    <t>100: Solusi sangat kuat, berbasis prinsip rekayasa, tervalidasi, memiliki rasional teknis tinggi dan level inovasi signifikan</t>
  </si>
  <si>
    <t>0: Tidak terdapat bukti pemasangan atau implementasi</t>
  </si>
  <si>
    <t>20: Belum diimplementasikan dalam operasi</t>
  </si>
  <si>
    <t>0: Tidak terdapat data manfaat atau metode pengukuran</t>
  </si>
  <si>
    <t>20: Tidak menunjukkan dampak terhadap efisiensi/reliability/revenue/K3L</t>
  </si>
  <si>
    <t>40: Dampak ada namun tidak terukur atau tidak jelas metode perhitungannya</t>
  </si>
  <si>
    <t>0: Tidak terdapat informasi replikasi atau komersialisasi</t>
  </si>
  <si>
    <t>20: Tidak dapat direplikasi atau tidak memiliki nilai ekonomi</t>
  </si>
  <si>
    <t>40: Potensi replikasi sangat terbatas dan tergantung kondisi spesifik</t>
  </si>
  <si>
    <t>0: Tidak terdapat pembahasan K3L, regulasi, dan risiko</t>
  </si>
  <si>
    <t>20: Tidak mempertimbangkan aspek keselamatan, lingkungan, dan kepatuhan</t>
  </si>
  <si>
    <t>100: Fully compliant terhadap K3L dan regulasi, dengan identifikasi dan mitigasi risiko yang komprehensif</t>
  </si>
  <si>
    <t>0: Tidak terdapat dokumen atau bukti pendukung</t>
  </si>
  <si>
    <t>20: Dokumen tidak terstruktur dan tidak dapat ditelusuri</t>
  </si>
  <si>
    <t>40: Struktur ada namun data tidak lengkap</t>
  </si>
  <si>
    <t>100: Dokumen sangat lengkap, terstruktur, berbasis data, dan fully traceable</t>
  </si>
  <si>
    <t>JUDUL MAKALAH 1</t>
  </si>
  <si>
    <t>JUDUL MAKALAH 2</t>
  </si>
  <si>
    <t>JUDUL MAKALAH 3</t>
  </si>
  <si>
    <t>JUDUL MAKALAH 4</t>
  </si>
  <si>
    <t>JUDUL MAKALAH 5</t>
  </si>
  <si>
    <t>JUDUL MAKALAH 6</t>
  </si>
  <si>
    <t>JUDUL MAKALAH 7</t>
  </si>
  <si>
    <t>JUDUL MAKALAH 8</t>
  </si>
  <si>
    <t>JUDUL MAKALAH 9</t>
  </si>
  <si>
    <t>UNIT</t>
  </si>
  <si>
    <t>NAMA JURI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</si>
</sst>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3" fillId="2" borderId="3" xfId="0" applyNumberFormat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3" borderId="1" xfId="0" applyFont="1" applyFill="1" applyBorder="1"/>
    <xf numFmtId="0" fontId="3" fillId="2" borderId="1" xfId="0" applyFont="1" applyFill="1" applyBorder="1" applyAlignment="1">
      <alignment vertical="center"/>
    </xf>
    <xf numFmtId="9" fontId="3" fillId="2" borderId="3" xfId="0" applyNumberFormat="1" applyFont="1" applyFill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quotePrefix="1" applyFont="1" applyFill="1" applyBorder="1" applyAlignment="1">
      <alignment horizontal="left" vertical="center"/>
    </xf>
    <xf numFmtId="1" fontId="1" fillId="5" borderId="1" xfId="0" applyNumberFormat="1" applyFont="1" applyFill="1" applyBorder="1" applyAlignment="1">
      <alignment horizontal="center" vertical="center"/>
    </xf>
    <xf numFmtId="9" fontId="1" fillId="5" borderId="2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4" xfId="0" applyFont="1" applyBorder="1"/>
    <xf numFmtId="0" fontId="11" fillId="0" borderId="5" xfId="0" applyFont="1" applyBorder="1"/>
    <xf numFmtId="0" fontId="10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BFFC9"/>
      <color rgb="FFE0F5FC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65D0-5F5F-4EE4-A61E-60EB405D38C5}">
  <sheetPr>
    <tabColor rgb="FFFFFF00"/>
  </sheetPr>
  <dimension ref="A1:L66"/>
  <sheetViews>
    <sheetView tabSelected="1" zoomScale="85" zoomScaleNormal="85" workbookViewId="0">
      <pane xSplit="3" topLeftCell="D1" activePane="topRight" state="frozen"/>
      <selection pane="topRight" activeCell="H5" sqref="H5"/>
    </sheetView>
  </sheetViews>
  <sheetFormatPr defaultColWidth="8.77734375" defaultRowHeight="12.75" customHeight="1" x14ac:dyDescent="0.3"/>
  <cols>
    <col min="1" max="1" width="3.5546875" style="1" bestFit="1" customWidth="1"/>
    <col min="2" max="2" width="9.21875" style="1" bestFit="1" customWidth="1"/>
    <col min="3" max="3" width="21.21875" style="1" customWidth="1"/>
    <col min="4" max="4" width="14.77734375" style="1" customWidth="1"/>
    <col min="5" max="5" width="17.21875" style="1" customWidth="1"/>
    <col min="6" max="6" width="20.5546875" style="1" customWidth="1"/>
    <col min="7" max="7" width="25.77734375" style="1" customWidth="1"/>
    <col min="8" max="8" width="83.21875" style="2" customWidth="1"/>
    <col min="9" max="9" width="8.77734375" style="2" customWidth="1"/>
    <col min="10" max="10" width="8.77734375" style="17" customWidth="1"/>
    <col min="11" max="11" width="8.77734375" style="2" customWidth="1"/>
    <col min="12" max="12" width="30.77734375" style="1" customWidth="1"/>
    <col min="13" max="16384" width="8.77734375" style="1"/>
  </cols>
  <sheetData>
    <row r="1" spans="1:12" ht="13.95" customHeigh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/>
      <c r="G1" s="35"/>
      <c r="H1" s="35"/>
      <c r="I1" s="35"/>
      <c r="J1" s="35"/>
      <c r="K1" s="35"/>
      <c r="L1" s="35"/>
    </row>
    <row r="2" spans="1:12" ht="14.55" customHeight="1" x14ac:dyDescent="0.3">
      <c r="A2" s="35"/>
      <c r="B2" s="35"/>
      <c r="C2" s="35"/>
      <c r="D2" s="35"/>
      <c r="E2" s="3" t="s">
        <v>5</v>
      </c>
      <c r="F2" s="3" t="s">
        <v>6</v>
      </c>
      <c r="G2" s="3" t="s">
        <v>7</v>
      </c>
      <c r="H2" s="3" t="s">
        <v>8</v>
      </c>
      <c r="I2" s="35" t="s">
        <v>88</v>
      </c>
      <c r="J2" s="35"/>
      <c r="K2" s="35"/>
      <c r="L2" s="35"/>
    </row>
    <row r="3" spans="1:12" ht="13.95" customHeight="1" x14ac:dyDescent="0.3">
      <c r="A3" s="35"/>
      <c r="B3" s="35"/>
      <c r="C3" s="35"/>
      <c r="D3" s="35"/>
      <c r="E3" s="3"/>
      <c r="F3" s="3"/>
      <c r="G3" s="14"/>
      <c r="H3" s="14"/>
      <c r="I3" s="7" t="s">
        <v>9</v>
      </c>
      <c r="J3" s="15" t="s">
        <v>10</v>
      </c>
      <c r="K3" s="3" t="s">
        <v>11</v>
      </c>
      <c r="L3" s="3" t="s">
        <v>12</v>
      </c>
    </row>
    <row r="4" spans="1:12" ht="58.5" customHeight="1" x14ac:dyDescent="0.3">
      <c r="A4" s="27">
        <v>1</v>
      </c>
      <c r="B4" s="27" t="s">
        <v>87</v>
      </c>
      <c r="C4" s="28" t="s">
        <v>78</v>
      </c>
      <c r="D4" s="29"/>
      <c r="E4" s="18" t="s">
        <v>13</v>
      </c>
      <c r="F4" s="18" t="s">
        <v>14</v>
      </c>
      <c r="G4" s="18" t="s">
        <v>15</v>
      </c>
      <c r="H4" s="8"/>
      <c r="I4" s="9" t="str">
        <f>IFERROR(VALUE(_xlfn.TEXTBEFORE(H4,":")),"")</f>
        <v/>
      </c>
      <c r="J4" s="16">
        <v>0.1</v>
      </c>
      <c r="K4" s="30">
        <f>SUMPRODUCT(I4:I10,J4:J10)</f>
        <v>0</v>
      </c>
      <c r="L4" s="23"/>
    </row>
    <row r="5" spans="1:12" ht="58.5" customHeight="1" x14ac:dyDescent="0.3">
      <c r="A5" s="27"/>
      <c r="B5" s="27"/>
      <c r="C5" s="28"/>
      <c r="D5" s="29"/>
      <c r="E5" s="18" t="s">
        <v>17</v>
      </c>
      <c r="F5" s="18" t="s">
        <v>18</v>
      </c>
      <c r="G5" s="18" t="s">
        <v>19</v>
      </c>
      <c r="H5" s="8"/>
      <c r="I5" s="9" t="str">
        <f t="shared" ref="I5:I66" si="0">IFERROR(VALUE(_xlfn.TEXTBEFORE(H5,":")),"")</f>
        <v/>
      </c>
      <c r="J5" s="16">
        <v>0.2</v>
      </c>
      <c r="K5" s="30"/>
      <c r="L5" s="24"/>
    </row>
    <row r="6" spans="1:12" ht="58.5" customHeight="1" x14ac:dyDescent="0.3">
      <c r="A6" s="27"/>
      <c r="B6" s="27"/>
      <c r="C6" s="28"/>
      <c r="D6" s="29"/>
      <c r="E6" s="18" t="s">
        <v>21</v>
      </c>
      <c r="F6" s="18" t="s">
        <v>22</v>
      </c>
      <c r="G6" s="18" t="s">
        <v>23</v>
      </c>
      <c r="H6" s="8"/>
      <c r="I6" s="9" t="str">
        <f t="shared" si="0"/>
        <v/>
      </c>
      <c r="J6" s="16">
        <v>0.2</v>
      </c>
      <c r="K6" s="30"/>
      <c r="L6" s="24"/>
    </row>
    <row r="7" spans="1:12" ht="58.5" customHeight="1" x14ac:dyDescent="0.3">
      <c r="A7" s="27"/>
      <c r="B7" s="27"/>
      <c r="C7" s="28"/>
      <c r="D7" s="29"/>
      <c r="E7" s="18" t="s">
        <v>25</v>
      </c>
      <c r="F7" s="18" t="s">
        <v>26</v>
      </c>
      <c r="G7" s="18" t="s">
        <v>27</v>
      </c>
      <c r="H7" s="8"/>
      <c r="I7" s="9" t="str">
        <f t="shared" si="0"/>
        <v/>
      </c>
      <c r="J7" s="16">
        <v>0.2</v>
      </c>
      <c r="K7" s="30"/>
      <c r="L7" s="24"/>
    </row>
    <row r="8" spans="1:12" ht="58.5" customHeight="1" x14ac:dyDescent="0.3">
      <c r="A8" s="27"/>
      <c r="B8" s="27"/>
      <c r="C8" s="28"/>
      <c r="D8" s="29"/>
      <c r="E8" s="18" t="s">
        <v>29</v>
      </c>
      <c r="F8" s="18" t="s">
        <v>30</v>
      </c>
      <c r="G8" s="18" t="s">
        <v>31</v>
      </c>
      <c r="H8" s="8"/>
      <c r="I8" s="9" t="str">
        <f t="shared" si="0"/>
        <v/>
      </c>
      <c r="J8" s="16">
        <v>0.15</v>
      </c>
      <c r="K8" s="30"/>
      <c r="L8" s="24"/>
    </row>
    <row r="9" spans="1:12" ht="58.5" customHeight="1" x14ac:dyDescent="0.3">
      <c r="A9" s="27"/>
      <c r="B9" s="27"/>
      <c r="C9" s="28"/>
      <c r="D9" s="29"/>
      <c r="E9" s="18" t="s">
        <v>33</v>
      </c>
      <c r="F9" s="18" t="s">
        <v>34</v>
      </c>
      <c r="G9" s="18" t="s">
        <v>35</v>
      </c>
      <c r="H9" s="8"/>
      <c r="I9" s="9" t="str">
        <f t="shared" si="0"/>
        <v/>
      </c>
      <c r="J9" s="16">
        <v>0.05</v>
      </c>
      <c r="K9" s="30"/>
      <c r="L9" s="24"/>
    </row>
    <row r="10" spans="1:12" ht="58.5" customHeight="1" x14ac:dyDescent="0.3">
      <c r="A10" s="27"/>
      <c r="B10" s="27"/>
      <c r="C10" s="28"/>
      <c r="D10" s="29"/>
      <c r="E10" s="18" t="s">
        <v>37</v>
      </c>
      <c r="F10" s="18" t="s">
        <v>38</v>
      </c>
      <c r="G10" s="18" t="s">
        <v>39</v>
      </c>
      <c r="H10" s="8"/>
      <c r="I10" s="9" t="str">
        <f t="shared" si="0"/>
        <v/>
      </c>
      <c r="J10" s="16">
        <v>0.1</v>
      </c>
      <c r="K10" s="30"/>
      <c r="L10" s="25"/>
    </row>
    <row r="11" spans="1:12" ht="58.5" customHeight="1" x14ac:dyDescent="0.3">
      <c r="A11" s="31">
        <v>2</v>
      </c>
      <c r="B11" s="31" t="s">
        <v>87</v>
      </c>
      <c r="C11" s="32" t="s">
        <v>79</v>
      </c>
      <c r="D11" s="33"/>
      <c r="E11" s="19" t="s">
        <v>13</v>
      </c>
      <c r="F11" s="19" t="s">
        <v>14</v>
      </c>
      <c r="G11" s="19" t="s">
        <v>15</v>
      </c>
      <c r="H11" s="20"/>
      <c r="I11" s="21" t="str">
        <f t="shared" si="0"/>
        <v/>
      </c>
      <c r="J11" s="22">
        <v>0.1</v>
      </c>
      <c r="K11" s="34">
        <f>SUMPRODUCT(I11:I17,J11:J17)</f>
        <v>0</v>
      </c>
      <c r="L11" s="26"/>
    </row>
    <row r="12" spans="1:12" ht="58.5" customHeight="1" x14ac:dyDescent="0.3">
      <c r="A12" s="31"/>
      <c r="B12" s="31"/>
      <c r="C12" s="32"/>
      <c r="D12" s="33"/>
      <c r="E12" s="19" t="s">
        <v>17</v>
      </c>
      <c r="F12" s="19" t="s">
        <v>18</v>
      </c>
      <c r="G12" s="19" t="s">
        <v>19</v>
      </c>
      <c r="H12" s="20"/>
      <c r="I12" s="21" t="str">
        <f t="shared" si="0"/>
        <v/>
      </c>
      <c r="J12" s="22">
        <v>0.2</v>
      </c>
      <c r="K12" s="34"/>
      <c r="L12" s="24"/>
    </row>
    <row r="13" spans="1:12" ht="58.5" customHeight="1" x14ac:dyDescent="0.3">
      <c r="A13" s="31"/>
      <c r="B13" s="31"/>
      <c r="C13" s="32"/>
      <c r="D13" s="33"/>
      <c r="E13" s="19" t="s">
        <v>21</v>
      </c>
      <c r="F13" s="19" t="s">
        <v>22</v>
      </c>
      <c r="G13" s="19" t="s">
        <v>23</v>
      </c>
      <c r="H13" s="20"/>
      <c r="I13" s="21" t="str">
        <f t="shared" si="0"/>
        <v/>
      </c>
      <c r="J13" s="22">
        <v>0.2</v>
      </c>
      <c r="K13" s="34"/>
      <c r="L13" s="24"/>
    </row>
    <row r="14" spans="1:12" ht="58.5" customHeight="1" x14ac:dyDescent="0.3">
      <c r="A14" s="31"/>
      <c r="B14" s="31"/>
      <c r="C14" s="32"/>
      <c r="D14" s="33"/>
      <c r="E14" s="19" t="s">
        <v>25</v>
      </c>
      <c r="F14" s="19" t="s">
        <v>26</v>
      </c>
      <c r="G14" s="19" t="s">
        <v>27</v>
      </c>
      <c r="H14" s="20"/>
      <c r="I14" s="21" t="str">
        <f t="shared" si="0"/>
        <v/>
      </c>
      <c r="J14" s="22">
        <v>0.2</v>
      </c>
      <c r="K14" s="34"/>
      <c r="L14" s="24"/>
    </row>
    <row r="15" spans="1:12" ht="58.5" customHeight="1" x14ac:dyDescent="0.3">
      <c r="A15" s="31"/>
      <c r="B15" s="31"/>
      <c r="C15" s="32"/>
      <c r="D15" s="33"/>
      <c r="E15" s="19" t="s">
        <v>29</v>
      </c>
      <c r="F15" s="19" t="s">
        <v>30</v>
      </c>
      <c r="G15" s="19" t="s">
        <v>31</v>
      </c>
      <c r="H15" s="20"/>
      <c r="I15" s="21" t="str">
        <f t="shared" si="0"/>
        <v/>
      </c>
      <c r="J15" s="22">
        <v>0.15</v>
      </c>
      <c r="K15" s="34"/>
      <c r="L15" s="24"/>
    </row>
    <row r="16" spans="1:12" ht="58.5" customHeight="1" x14ac:dyDescent="0.3">
      <c r="A16" s="31"/>
      <c r="B16" s="31"/>
      <c r="C16" s="32"/>
      <c r="D16" s="33"/>
      <c r="E16" s="19" t="s">
        <v>33</v>
      </c>
      <c r="F16" s="19" t="s">
        <v>34</v>
      </c>
      <c r="G16" s="19" t="s">
        <v>35</v>
      </c>
      <c r="H16" s="20"/>
      <c r="I16" s="21" t="str">
        <f t="shared" si="0"/>
        <v/>
      </c>
      <c r="J16" s="22">
        <v>0.05</v>
      </c>
      <c r="K16" s="34"/>
      <c r="L16" s="24"/>
    </row>
    <row r="17" spans="1:12" ht="58.5" customHeight="1" x14ac:dyDescent="0.3">
      <c r="A17" s="31"/>
      <c r="B17" s="31"/>
      <c r="C17" s="32"/>
      <c r="D17" s="33"/>
      <c r="E17" s="19" t="s">
        <v>37</v>
      </c>
      <c r="F17" s="19" t="s">
        <v>38</v>
      </c>
      <c r="G17" s="19" t="s">
        <v>39</v>
      </c>
      <c r="H17" s="20"/>
      <c r="I17" s="21" t="str">
        <f t="shared" si="0"/>
        <v/>
      </c>
      <c r="J17" s="22">
        <v>0.1</v>
      </c>
      <c r="K17" s="34"/>
      <c r="L17" s="25"/>
    </row>
    <row r="18" spans="1:12" ht="58.5" customHeight="1" x14ac:dyDescent="0.3">
      <c r="A18" s="27">
        <v>3</v>
      </c>
      <c r="B18" s="27" t="s">
        <v>87</v>
      </c>
      <c r="C18" s="28" t="s">
        <v>80</v>
      </c>
      <c r="D18" s="29"/>
      <c r="E18" s="18" t="s">
        <v>13</v>
      </c>
      <c r="F18" s="18" t="s">
        <v>14</v>
      </c>
      <c r="G18" s="18" t="s">
        <v>15</v>
      </c>
      <c r="H18" s="8"/>
      <c r="I18" s="9" t="str">
        <f t="shared" si="0"/>
        <v/>
      </c>
      <c r="J18" s="16">
        <v>0.1</v>
      </c>
      <c r="K18" s="30">
        <f>SUMPRODUCT(I18:I24,J18:J24)</f>
        <v>0</v>
      </c>
      <c r="L18" s="23"/>
    </row>
    <row r="19" spans="1:12" ht="58.5" customHeight="1" x14ac:dyDescent="0.3">
      <c r="A19" s="27"/>
      <c r="B19" s="27"/>
      <c r="C19" s="28"/>
      <c r="D19" s="29"/>
      <c r="E19" s="18" t="s">
        <v>17</v>
      </c>
      <c r="F19" s="18" t="s">
        <v>18</v>
      </c>
      <c r="G19" s="18" t="s">
        <v>19</v>
      </c>
      <c r="H19" s="8"/>
      <c r="I19" s="9" t="str">
        <f t="shared" si="0"/>
        <v/>
      </c>
      <c r="J19" s="16">
        <v>0.2</v>
      </c>
      <c r="K19" s="30"/>
      <c r="L19" s="24"/>
    </row>
    <row r="20" spans="1:12" ht="58.5" customHeight="1" x14ac:dyDescent="0.3">
      <c r="A20" s="27"/>
      <c r="B20" s="27"/>
      <c r="C20" s="28"/>
      <c r="D20" s="29"/>
      <c r="E20" s="18" t="s">
        <v>21</v>
      </c>
      <c r="F20" s="18" t="s">
        <v>22</v>
      </c>
      <c r="G20" s="18" t="s">
        <v>23</v>
      </c>
      <c r="H20" s="8"/>
      <c r="I20" s="9" t="str">
        <f t="shared" si="0"/>
        <v/>
      </c>
      <c r="J20" s="16">
        <v>0.2</v>
      </c>
      <c r="K20" s="30"/>
      <c r="L20" s="24"/>
    </row>
    <row r="21" spans="1:12" ht="58.5" customHeight="1" x14ac:dyDescent="0.3">
      <c r="A21" s="27"/>
      <c r="B21" s="27"/>
      <c r="C21" s="28"/>
      <c r="D21" s="29"/>
      <c r="E21" s="18" t="s">
        <v>25</v>
      </c>
      <c r="F21" s="18" t="s">
        <v>26</v>
      </c>
      <c r="G21" s="18" t="s">
        <v>27</v>
      </c>
      <c r="H21" s="8"/>
      <c r="I21" s="9" t="str">
        <f t="shared" si="0"/>
        <v/>
      </c>
      <c r="J21" s="16">
        <v>0.2</v>
      </c>
      <c r="K21" s="30"/>
      <c r="L21" s="24"/>
    </row>
    <row r="22" spans="1:12" ht="58.5" customHeight="1" x14ac:dyDescent="0.3">
      <c r="A22" s="27"/>
      <c r="B22" s="27"/>
      <c r="C22" s="28"/>
      <c r="D22" s="29"/>
      <c r="E22" s="18" t="s">
        <v>29</v>
      </c>
      <c r="F22" s="18" t="s">
        <v>30</v>
      </c>
      <c r="G22" s="18" t="s">
        <v>31</v>
      </c>
      <c r="H22" s="8"/>
      <c r="I22" s="9" t="str">
        <f t="shared" si="0"/>
        <v/>
      </c>
      <c r="J22" s="16">
        <v>0.15</v>
      </c>
      <c r="K22" s="30"/>
      <c r="L22" s="24"/>
    </row>
    <row r="23" spans="1:12" ht="58.5" customHeight="1" x14ac:dyDescent="0.3">
      <c r="A23" s="27"/>
      <c r="B23" s="27"/>
      <c r="C23" s="28"/>
      <c r="D23" s="29"/>
      <c r="E23" s="18" t="s">
        <v>33</v>
      </c>
      <c r="F23" s="18" t="s">
        <v>34</v>
      </c>
      <c r="G23" s="18" t="s">
        <v>35</v>
      </c>
      <c r="H23" s="8"/>
      <c r="I23" s="9" t="str">
        <f t="shared" si="0"/>
        <v/>
      </c>
      <c r="J23" s="16">
        <v>0.05</v>
      </c>
      <c r="K23" s="30"/>
      <c r="L23" s="24"/>
    </row>
    <row r="24" spans="1:12" ht="58.5" customHeight="1" x14ac:dyDescent="0.3">
      <c r="A24" s="27"/>
      <c r="B24" s="27"/>
      <c r="C24" s="28"/>
      <c r="D24" s="29"/>
      <c r="E24" s="18" t="s">
        <v>37</v>
      </c>
      <c r="F24" s="18" t="s">
        <v>38</v>
      </c>
      <c r="G24" s="18" t="s">
        <v>39</v>
      </c>
      <c r="H24" s="8"/>
      <c r="I24" s="9" t="str">
        <f t="shared" si="0"/>
        <v/>
      </c>
      <c r="J24" s="16">
        <v>0.1</v>
      </c>
      <c r="K24" s="30"/>
      <c r="L24" s="25"/>
    </row>
    <row r="25" spans="1:12" ht="58.5" customHeight="1" x14ac:dyDescent="0.3">
      <c r="A25" s="31">
        <v>4</v>
      </c>
      <c r="B25" s="31" t="s">
        <v>87</v>
      </c>
      <c r="C25" s="32" t="s">
        <v>81</v>
      </c>
      <c r="D25" s="33"/>
      <c r="E25" s="19" t="s">
        <v>13</v>
      </c>
      <c r="F25" s="19" t="s">
        <v>14</v>
      </c>
      <c r="G25" s="19" t="s">
        <v>15</v>
      </c>
      <c r="H25" s="20"/>
      <c r="I25" s="21" t="str">
        <f t="shared" si="0"/>
        <v/>
      </c>
      <c r="J25" s="22">
        <v>0.1</v>
      </c>
      <c r="K25" s="34">
        <f>SUMPRODUCT(I25:I31,J25:J31)</f>
        <v>0</v>
      </c>
      <c r="L25" s="26"/>
    </row>
    <row r="26" spans="1:12" ht="58.5" customHeight="1" x14ac:dyDescent="0.3">
      <c r="A26" s="31"/>
      <c r="B26" s="31"/>
      <c r="C26" s="32"/>
      <c r="D26" s="33"/>
      <c r="E26" s="19" t="s">
        <v>17</v>
      </c>
      <c r="F26" s="19" t="s">
        <v>18</v>
      </c>
      <c r="G26" s="19" t="s">
        <v>19</v>
      </c>
      <c r="H26" s="20"/>
      <c r="I26" s="21" t="str">
        <f t="shared" si="0"/>
        <v/>
      </c>
      <c r="J26" s="22">
        <v>0.2</v>
      </c>
      <c r="K26" s="34"/>
      <c r="L26" s="24"/>
    </row>
    <row r="27" spans="1:12" ht="58.5" customHeight="1" x14ac:dyDescent="0.3">
      <c r="A27" s="31"/>
      <c r="B27" s="31"/>
      <c r="C27" s="32"/>
      <c r="D27" s="33"/>
      <c r="E27" s="19" t="s">
        <v>21</v>
      </c>
      <c r="F27" s="19" t="s">
        <v>22</v>
      </c>
      <c r="G27" s="19" t="s">
        <v>23</v>
      </c>
      <c r="H27" s="20"/>
      <c r="I27" s="21" t="str">
        <f t="shared" si="0"/>
        <v/>
      </c>
      <c r="J27" s="22">
        <v>0.2</v>
      </c>
      <c r="K27" s="34"/>
      <c r="L27" s="24"/>
    </row>
    <row r="28" spans="1:12" ht="58.5" customHeight="1" x14ac:dyDescent="0.3">
      <c r="A28" s="31"/>
      <c r="B28" s="31"/>
      <c r="C28" s="32"/>
      <c r="D28" s="33"/>
      <c r="E28" s="19" t="s">
        <v>25</v>
      </c>
      <c r="F28" s="19" t="s">
        <v>26</v>
      </c>
      <c r="G28" s="19" t="s">
        <v>27</v>
      </c>
      <c r="H28" s="20"/>
      <c r="I28" s="21" t="str">
        <f t="shared" si="0"/>
        <v/>
      </c>
      <c r="J28" s="22">
        <v>0.2</v>
      </c>
      <c r="K28" s="34"/>
      <c r="L28" s="24"/>
    </row>
    <row r="29" spans="1:12" ht="58.5" customHeight="1" x14ac:dyDescent="0.3">
      <c r="A29" s="31"/>
      <c r="B29" s="31"/>
      <c r="C29" s="32"/>
      <c r="D29" s="33"/>
      <c r="E29" s="19" t="s">
        <v>29</v>
      </c>
      <c r="F29" s="19" t="s">
        <v>30</v>
      </c>
      <c r="G29" s="19" t="s">
        <v>31</v>
      </c>
      <c r="H29" s="20"/>
      <c r="I29" s="21" t="str">
        <f t="shared" si="0"/>
        <v/>
      </c>
      <c r="J29" s="22">
        <v>0.15</v>
      </c>
      <c r="K29" s="34"/>
      <c r="L29" s="24"/>
    </row>
    <row r="30" spans="1:12" ht="58.5" customHeight="1" x14ac:dyDescent="0.3">
      <c r="A30" s="31"/>
      <c r="B30" s="31"/>
      <c r="C30" s="32"/>
      <c r="D30" s="33"/>
      <c r="E30" s="19" t="s">
        <v>33</v>
      </c>
      <c r="F30" s="19" t="s">
        <v>34</v>
      </c>
      <c r="G30" s="19" t="s">
        <v>35</v>
      </c>
      <c r="H30" s="20"/>
      <c r="I30" s="21" t="str">
        <f t="shared" si="0"/>
        <v/>
      </c>
      <c r="J30" s="22">
        <v>0.05</v>
      </c>
      <c r="K30" s="34"/>
      <c r="L30" s="24"/>
    </row>
    <row r="31" spans="1:12" ht="58.5" customHeight="1" x14ac:dyDescent="0.3">
      <c r="A31" s="31"/>
      <c r="B31" s="31"/>
      <c r="C31" s="32"/>
      <c r="D31" s="33"/>
      <c r="E31" s="19" t="s">
        <v>37</v>
      </c>
      <c r="F31" s="19" t="s">
        <v>38</v>
      </c>
      <c r="G31" s="19" t="s">
        <v>39</v>
      </c>
      <c r="H31" s="20"/>
      <c r="I31" s="21" t="str">
        <f t="shared" si="0"/>
        <v/>
      </c>
      <c r="J31" s="22">
        <v>0.1</v>
      </c>
      <c r="K31" s="34"/>
      <c r="L31" s="25"/>
    </row>
    <row r="32" spans="1:12" ht="58.5" customHeight="1" x14ac:dyDescent="0.3">
      <c r="A32" s="27">
        <v>5</v>
      </c>
      <c r="B32" s="27" t="s">
        <v>87</v>
      </c>
      <c r="C32" s="28" t="s">
        <v>82</v>
      </c>
      <c r="D32" s="29"/>
      <c r="E32" s="18" t="s">
        <v>13</v>
      </c>
      <c r="F32" s="18" t="s">
        <v>14</v>
      </c>
      <c r="G32" s="18" t="s">
        <v>15</v>
      </c>
      <c r="H32" s="8"/>
      <c r="I32" s="9" t="str">
        <f t="shared" si="0"/>
        <v/>
      </c>
      <c r="J32" s="16">
        <v>0.1</v>
      </c>
      <c r="K32" s="30">
        <f>SUMPRODUCT(I32:I38,J32:J38)</f>
        <v>0</v>
      </c>
      <c r="L32" s="23"/>
    </row>
    <row r="33" spans="1:12" ht="58.5" customHeight="1" x14ac:dyDescent="0.3">
      <c r="A33" s="27"/>
      <c r="B33" s="27"/>
      <c r="C33" s="28"/>
      <c r="D33" s="29"/>
      <c r="E33" s="18" t="s">
        <v>17</v>
      </c>
      <c r="F33" s="18" t="s">
        <v>18</v>
      </c>
      <c r="G33" s="18" t="s">
        <v>19</v>
      </c>
      <c r="H33" s="8"/>
      <c r="I33" s="9" t="str">
        <f t="shared" si="0"/>
        <v/>
      </c>
      <c r="J33" s="16">
        <v>0.2</v>
      </c>
      <c r="K33" s="30"/>
      <c r="L33" s="24"/>
    </row>
    <row r="34" spans="1:12" ht="58.5" customHeight="1" x14ac:dyDescent="0.3">
      <c r="A34" s="27"/>
      <c r="B34" s="27"/>
      <c r="C34" s="28"/>
      <c r="D34" s="29"/>
      <c r="E34" s="18" t="s">
        <v>21</v>
      </c>
      <c r="F34" s="18" t="s">
        <v>22</v>
      </c>
      <c r="G34" s="18" t="s">
        <v>23</v>
      </c>
      <c r="H34" s="8"/>
      <c r="I34" s="9" t="str">
        <f t="shared" si="0"/>
        <v/>
      </c>
      <c r="J34" s="16">
        <v>0.2</v>
      </c>
      <c r="K34" s="30"/>
      <c r="L34" s="24"/>
    </row>
    <row r="35" spans="1:12" ht="58.5" customHeight="1" x14ac:dyDescent="0.3">
      <c r="A35" s="27"/>
      <c r="B35" s="27"/>
      <c r="C35" s="28"/>
      <c r="D35" s="29"/>
      <c r="E35" s="18" t="s">
        <v>25</v>
      </c>
      <c r="F35" s="18" t="s">
        <v>26</v>
      </c>
      <c r="G35" s="18" t="s">
        <v>27</v>
      </c>
      <c r="H35" s="8"/>
      <c r="I35" s="9" t="str">
        <f t="shared" si="0"/>
        <v/>
      </c>
      <c r="J35" s="16">
        <v>0.2</v>
      </c>
      <c r="K35" s="30"/>
      <c r="L35" s="24"/>
    </row>
    <row r="36" spans="1:12" ht="58.5" customHeight="1" x14ac:dyDescent="0.3">
      <c r="A36" s="27"/>
      <c r="B36" s="27"/>
      <c r="C36" s="28"/>
      <c r="D36" s="29"/>
      <c r="E36" s="18" t="s">
        <v>29</v>
      </c>
      <c r="F36" s="18" t="s">
        <v>30</v>
      </c>
      <c r="G36" s="18" t="s">
        <v>31</v>
      </c>
      <c r="H36" s="8"/>
      <c r="I36" s="9" t="str">
        <f t="shared" si="0"/>
        <v/>
      </c>
      <c r="J36" s="16">
        <v>0.15</v>
      </c>
      <c r="K36" s="30"/>
      <c r="L36" s="24"/>
    </row>
    <row r="37" spans="1:12" ht="58.5" customHeight="1" x14ac:dyDescent="0.3">
      <c r="A37" s="27"/>
      <c r="B37" s="27"/>
      <c r="C37" s="28"/>
      <c r="D37" s="29"/>
      <c r="E37" s="18" t="s">
        <v>33</v>
      </c>
      <c r="F37" s="18" t="s">
        <v>34</v>
      </c>
      <c r="G37" s="18" t="s">
        <v>35</v>
      </c>
      <c r="H37" s="8"/>
      <c r="I37" s="9" t="str">
        <f t="shared" si="0"/>
        <v/>
      </c>
      <c r="J37" s="16">
        <v>0.05</v>
      </c>
      <c r="K37" s="30"/>
      <c r="L37" s="24"/>
    </row>
    <row r="38" spans="1:12" ht="58.5" customHeight="1" x14ac:dyDescent="0.3">
      <c r="A38" s="27"/>
      <c r="B38" s="27"/>
      <c r="C38" s="28"/>
      <c r="D38" s="29"/>
      <c r="E38" s="18" t="s">
        <v>37</v>
      </c>
      <c r="F38" s="18" t="s">
        <v>38</v>
      </c>
      <c r="G38" s="18" t="s">
        <v>39</v>
      </c>
      <c r="H38" s="8"/>
      <c r="I38" s="9" t="str">
        <f t="shared" si="0"/>
        <v/>
      </c>
      <c r="J38" s="16">
        <v>0.1</v>
      </c>
      <c r="K38" s="30"/>
      <c r="L38" s="25"/>
    </row>
    <row r="39" spans="1:12" ht="58.5" customHeight="1" x14ac:dyDescent="0.3">
      <c r="A39" s="31">
        <v>6</v>
      </c>
      <c r="B39" s="31" t="s">
        <v>87</v>
      </c>
      <c r="C39" s="32" t="s">
        <v>83</v>
      </c>
      <c r="D39" s="33"/>
      <c r="E39" s="19" t="s">
        <v>13</v>
      </c>
      <c r="F39" s="19" t="s">
        <v>14</v>
      </c>
      <c r="G39" s="19" t="s">
        <v>15</v>
      </c>
      <c r="H39" s="20"/>
      <c r="I39" s="21" t="str">
        <f t="shared" si="0"/>
        <v/>
      </c>
      <c r="J39" s="22">
        <v>0.1</v>
      </c>
      <c r="K39" s="34">
        <f>SUMPRODUCT(I39:I45,J39:J45)</f>
        <v>0</v>
      </c>
      <c r="L39" s="26"/>
    </row>
    <row r="40" spans="1:12" ht="58.5" customHeight="1" x14ac:dyDescent="0.3">
      <c r="A40" s="31"/>
      <c r="B40" s="31"/>
      <c r="C40" s="32"/>
      <c r="D40" s="33"/>
      <c r="E40" s="19" t="s">
        <v>17</v>
      </c>
      <c r="F40" s="19" t="s">
        <v>18</v>
      </c>
      <c r="G40" s="19" t="s">
        <v>19</v>
      </c>
      <c r="H40" s="20"/>
      <c r="I40" s="21" t="str">
        <f t="shared" si="0"/>
        <v/>
      </c>
      <c r="J40" s="22">
        <v>0.2</v>
      </c>
      <c r="K40" s="34"/>
      <c r="L40" s="24"/>
    </row>
    <row r="41" spans="1:12" ht="58.5" customHeight="1" x14ac:dyDescent="0.3">
      <c r="A41" s="31"/>
      <c r="B41" s="31"/>
      <c r="C41" s="32"/>
      <c r="D41" s="33"/>
      <c r="E41" s="19" t="s">
        <v>21</v>
      </c>
      <c r="F41" s="19" t="s">
        <v>22</v>
      </c>
      <c r="G41" s="19" t="s">
        <v>23</v>
      </c>
      <c r="H41" s="20"/>
      <c r="I41" s="21" t="str">
        <f t="shared" si="0"/>
        <v/>
      </c>
      <c r="J41" s="22">
        <v>0.2</v>
      </c>
      <c r="K41" s="34"/>
      <c r="L41" s="24"/>
    </row>
    <row r="42" spans="1:12" ht="58.5" customHeight="1" x14ac:dyDescent="0.3">
      <c r="A42" s="31"/>
      <c r="B42" s="31"/>
      <c r="C42" s="32"/>
      <c r="D42" s="33"/>
      <c r="E42" s="19" t="s">
        <v>25</v>
      </c>
      <c r="F42" s="19" t="s">
        <v>26</v>
      </c>
      <c r="G42" s="19" t="s">
        <v>27</v>
      </c>
      <c r="H42" s="20"/>
      <c r="I42" s="21" t="str">
        <f t="shared" si="0"/>
        <v/>
      </c>
      <c r="J42" s="22">
        <v>0.2</v>
      </c>
      <c r="K42" s="34"/>
      <c r="L42" s="24"/>
    </row>
    <row r="43" spans="1:12" ht="58.5" customHeight="1" x14ac:dyDescent="0.3">
      <c r="A43" s="31"/>
      <c r="B43" s="31"/>
      <c r="C43" s="32"/>
      <c r="D43" s="33"/>
      <c r="E43" s="19" t="s">
        <v>29</v>
      </c>
      <c r="F43" s="19" t="s">
        <v>30</v>
      </c>
      <c r="G43" s="19" t="s">
        <v>31</v>
      </c>
      <c r="H43" s="20"/>
      <c r="I43" s="21" t="str">
        <f t="shared" si="0"/>
        <v/>
      </c>
      <c r="J43" s="22">
        <v>0.15</v>
      </c>
      <c r="K43" s="34"/>
      <c r="L43" s="24"/>
    </row>
    <row r="44" spans="1:12" ht="58.5" customHeight="1" x14ac:dyDescent="0.3">
      <c r="A44" s="31"/>
      <c r="B44" s="31"/>
      <c r="C44" s="32"/>
      <c r="D44" s="33"/>
      <c r="E44" s="19" t="s">
        <v>33</v>
      </c>
      <c r="F44" s="19" t="s">
        <v>34</v>
      </c>
      <c r="G44" s="19" t="s">
        <v>35</v>
      </c>
      <c r="H44" s="20"/>
      <c r="I44" s="21" t="str">
        <f t="shared" si="0"/>
        <v/>
      </c>
      <c r="J44" s="22">
        <v>0.05</v>
      </c>
      <c r="K44" s="34"/>
      <c r="L44" s="24"/>
    </row>
    <row r="45" spans="1:12" ht="58.5" customHeight="1" x14ac:dyDescent="0.3">
      <c r="A45" s="31"/>
      <c r="B45" s="31"/>
      <c r="C45" s="32"/>
      <c r="D45" s="33"/>
      <c r="E45" s="19" t="s">
        <v>37</v>
      </c>
      <c r="F45" s="19" t="s">
        <v>38</v>
      </c>
      <c r="G45" s="19" t="s">
        <v>39</v>
      </c>
      <c r="H45" s="20"/>
      <c r="I45" s="21" t="str">
        <f t="shared" si="0"/>
        <v/>
      </c>
      <c r="J45" s="22">
        <v>0.1</v>
      </c>
      <c r="K45" s="34"/>
      <c r="L45" s="25"/>
    </row>
    <row r="46" spans="1:12" ht="58.5" customHeight="1" x14ac:dyDescent="0.3">
      <c r="A46" s="27">
        <v>7</v>
      </c>
      <c r="B46" s="27" t="s">
        <v>87</v>
      </c>
      <c r="C46" s="28" t="s">
        <v>84</v>
      </c>
      <c r="D46" s="29"/>
      <c r="E46" s="18" t="s">
        <v>13</v>
      </c>
      <c r="F46" s="18" t="s">
        <v>14</v>
      </c>
      <c r="G46" s="18" t="s">
        <v>15</v>
      </c>
      <c r="H46" s="8"/>
      <c r="I46" s="9" t="str">
        <f t="shared" si="0"/>
        <v/>
      </c>
      <c r="J46" s="16">
        <v>0.1</v>
      </c>
      <c r="K46" s="30">
        <f>SUMPRODUCT(I46:I52,J46:J52)</f>
        <v>0</v>
      </c>
      <c r="L46" s="23"/>
    </row>
    <row r="47" spans="1:12" ht="58.5" customHeight="1" x14ac:dyDescent="0.3">
      <c r="A47" s="27"/>
      <c r="B47" s="27"/>
      <c r="C47" s="28"/>
      <c r="D47" s="29"/>
      <c r="E47" s="18" t="s">
        <v>17</v>
      </c>
      <c r="F47" s="18" t="s">
        <v>18</v>
      </c>
      <c r="G47" s="18" t="s">
        <v>19</v>
      </c>
      <c r="H47" s="8"/>
      <c r="I47" s="9" t="str">
        <f t="shared" si="0"/>
        <v/>
      </c>
      <c r="J47" s="16">
        <v>0.2</v>
      </c>
      <c r="K47" s="30"/>
      <c r="L47" s="24"/>
    </row>
    <row r="48" spans="1:12" ht="58.5" customHeight="1" x14ac:dyDescent="0.3">
      <c r="A48" s="27"/>
      <c r="B48" s="27"/>
      <c r="C48" s="28"/>
      <c r="D48" s="29"/>
      <c r="E48" s="18" t="s">
        <v>21</v>
      </c>
      <c r="F48" s="18" t="s">
        <v>22</v>
      </c>
      <c r="G48" s="18" t="s">
        <v>23</v>
      </c>
      <c r="H48" s="8"/>
      <c r="I48" s="9" t="str">
        <f t="shared" si="0"/>
        <v/>
      </c>
      <c r="J48" s="16">
        <v>0.2</v>
      </c>
      <c r="K48" s="30"/>
      <c r="L48" s="24"/>
    </row>
    <row r="49" spans="1:12" ht="58.5" customHeight="1" x14ac:dyDescent="0.3">
      <c r="A49" s="27"/>
      <c r="B49" s="27"/>
      <c r="C49" s="28"/>
      <c r="D49" s="29"/>
      <c r="E49" s="18" t="s">
        <v>25</v>
      </c>
      <c r="F49" s="18" t="s">
        <v>26</v>
      </c>
      <c r="G49" s="18" t="s">
        <v>27</v>
      </c>
      <c r="H49" s="8"/>
      <c r="I49" s="9" t="str">
        <f t="shared" si="0"/>
        <v/>
      </c>
      <c r="J49" s="16">
        <v>0.2</v>
      </c>
      <c r="K49" s="30"/>
      <c r="L49" s="24"/>
    </row>
    <row r="50" spans="1:12" ht="58.5" customHeight="1" x14ac:dyDescent="0.3">
      <c r="A50" s="27"/>
      <c r="B50" s="27"/>
      <c r="C50" s="28"/>
      <c r="D50" s="29"/>
      <c r="E50" s="18" t="s">
        <v>29</v>
      </c>
      <c r="F50" s="18" t="s">
        <v>30</v>
      </c>
      <c r="G50" s="18" t="s">
        <v>31</v>
      </c>
      <c r="H50" s="8"/>
      <c r="I50" s="9" t="str">
        <f t="shared" si="0"/>
        <v/>
      </c>
      <c r="J50" s="16">
        <v>0.15</v>
      </c>
      <c r="K50" s="30"/>
      <c r="L50" s="24"/>
    </row>
    <row r="51" spans="1:12" ht="58.5" customHeight="1" x14ac:dyDescent="0.3">
      <c r="A51" s="27"/>
      <c r="B51" s="27"/>
      <c r="C51" s="28"/>
      <c r="D51" s="29"/>
      <c r="E51" s="18" t="s">
        <v>33</v>
      </c>
      <c r="F51" s="18" t="s">
        <v>34</v>
      </c>
      <c r="G51" s="18" t="s">
        <v>35</v>
      </c>
      <c r="H51" s="8"/>
      <c r="I51" s="9" t="str">
        <f t="shared" si="0"/>
        <v/>
      </c>
      <c r="J51" s="16">
        <v>0.05</v>
      </c>
      <c r="K51" s="30"/>
      <c r="L51" s="24"/>
    </row>
    <row r="52" spans="1:12" ht="58.5" customHeight="1" x14ac:dyDescent="0.3">
      <c r="A52" s="27"/>
      <c r="B52" s="27"/>
      <c r="C52" s="28"/>
      <c r="D52" s="29"/>
      <c r="E52" s="18" t="s">
        <v>37</v>
      </c>
      <c r="F52" s="18" t="s">
        <v>38</v>
      </c>
      <c r="G52" s="18" t="s">
        <v>39</v>
      </c>
      <c r="H52" s="8"/>
      <c r="I52" s="9" t="str">
        <f t="shared" si="0"/>
        <v/>
      </c>
      <c r="J52" s="16">
        <v>0.1</v>
      </c>
      <c r="K52" s="30"/>
      <c r="L52" s="25"/>
    </row>
    <row r="53" spans="1:12" ht="58.5" customHeight="1" x14ac:dyDescent="0.3">
      <c r="A53" s="31">
        <v>8</v>
      </c>
      <c r="B53" s="31" t="s">
        <v>87</v>
      </c>
      <c r="C53" s="32" t="s">
        <v>85</v>
      </c>
      <c r="D53" s="33"/>
      <c r="E53" s="19" t="s">
        <v>13</v>
      </c>
      <c r="F53" s="19" t="s">
        <v>14</v>
      </c>
      <c r="G53" s="19" t="s">
        <v>15</v>
      </c>
      <c r="H53" s="20"/>
      <c r="I53" s="21" t="str">
        <f t="shared" si="0"/>
        <v/>
      </c>
      <c r="J53" s="22">
        <v>0.1</v>
      </c>
      <c r="K53" s="34">
        <f>SUMPRODUCT(I53:I59,J53:J59)</f>
        <v>0</v>
      </c>
      <c r="L53" s="26"/>
    </row>
    <row r="54" spans="1:12" ht="58.5" customHeight="1" x14ac:dyDescent="0.3">
      <c r="A54" s="31"/>
      <c r="B54" s="31"/>
      <c r="C54" s="32"/>
      <c r="D54" s="33"/>
      <c r="E54" s="19" t="s">
        <v>17</v>
      </c>
      <c r="F54" s="19" t="s">
        <v>18</v>
      </c>
      <c r="G54" s="19" t="s">
        <v>19</v>
      </c>
      <c r="H54" s="20"/>
      <c r="I54" s="21" t="str">
        <f t="shared" si="0"/>
        <v/>
      </c>
      <c r="J54" s="22">
        <v>0.2</v>
      </c>
      <c r="K54" s="34"/>
      <c r="L54" s="24"/>
    </row>
    <row r="55" spans="1:12" ht="58.5" customHeight="1" x14ac:dyDescent="0.3">
      <c r="A55" s="31"/>
      <c r="B55" s="31"/>
      <c r="C55" s="32"/>
      <c r="D55" s="33"/>
      <c r="E55" s="19" t="s">
        <v>21</v>
      </c>
      <c r="F55" s="19" t="s">
        <v>22</v>
      </c>
      <c r="G55" s="19" t="s">
        <v>23</v>
      </c>
      <c r="H55" s="20"/>
      <c r="I55" s="21" t="str">
        <f t="shared" si="0"/>
        <v/>
      </c>
      <c r="J55" s="22">
        <v>0.2</v>
      </c>
      <c r="K55" s="34"/>
      <c r="L55" s="24"/>
    </row>
    <row r="56" spans="1:12" ht="58.5" customHeight="1" x14ac:dyDescent="0.3">
      <c r="A56" s="31"/>
      <c r="B56" s="31"/>
      <c r="C56" s="32"/>
      <c r="D56" s="33"/>
      <c r="E56" s="19" t="s">
        <v>25</v>
      </c>
      <c r="F56" s="19" t="s">
        <v>26</v>
      </c>
      <c r="G56" s="19" t="s">
        <v>27</v>
      </c>
      <c r="H56" s="20"/>
      <c r="I56" s="21" t="str">
        <f t="shared" si="0"/>
        <v/>
      </c>
      <c r="J56" s="22">
        <v>0.2</v>
      </c>
      <c r="K56" s="34"/>
      <c r="L56" s="24"/>
    </row>
    <row r="57" spans="1:12" ht="58.5" customHeight="1" x14ac:dyDescent="0.3">
      <c r="A57" s="31"/>
      <c r="B57" s="31"/>
      <c r="C57" s="32"/>
      <c r="D57" s="33"/>
      <c r="E57" s="19" t="s">
        <v>29</v>
      </c>
      <c r="F57" s="19" t="s">
        <v>30</v>
      </c>
      <c r="G57" s="19" t="s">
        <v>31</v>
      </c>
      <c r="H57" s="20"/>
      <c r="I57" s="21" t="str">
        <f t="shared" si="0"/>
        <v/>
      </c>
      <c r="J57" s="22">
        <v>0.15</v>
      </c>
      <c r="K57" s="34"/>
      <c r="L57" s="24"/>
    </row>
    <row r="58" spans="1:12" ht="58.5" customHeight="1" x14ac:dyDescent="0.3">
      <c r="A58" s="31"/>
      <c r="B58" s="31"/>
      <c r="C58" s="32"/>
      <c r="D58" s="33"/>
      <c r="E58" s="19" t="s">
        <v>33</v>
      </c>
      <c r="F58" s="19" t="s">
        <v>34</v>
      </c>
      <c r="G58" s="19" t="s">
        <v>35</v>
      </c>
      <c r="H58" s="20"/>
      <c r="I58" s="21" t="str">
        <f t="shared" si="0"/>
        <v/>
      </c>
      <c r="J58" s="22">
        <v>0.05</v>
      </c>
      <c r="K58" s="34"/>
      <c r="L58" s="24"/>
    </row>
    <row r="59" spans="1:12" ht="58.5" customHeight="1" x14ac:dyDescent="0.3">
      <c r="A59" s="31"/>
      <c r="B59" s="31"/>
      <c r="C59" s="32"/>
      <c r="D59" s="33"/>
      <c r="E59" s="19" t="s">
        <v>37</v>
      </c>
      <c r="F59" s="19" t="s">
        <v>38</v>
      </c>
      <c r="G59" s="19" t="s">
        <v>39</v>
      </c>
      <c r="H59" s="20"/>
      <c r="I59" s="21" t="str">
        <f t="shared" si="0"/>
        <v/>
      </c>
      <c r="J59" s="22">
        <v>0.1</v>
      </c>
      <c r="K59" s="34"/>
      <c r="L59" s="25"/>
    </row>
    <row r="60" spans="1:12" ht="58.5" customHeight="1" x14ac:dyDescent="0.3">
      <c r="A60" s="27">
        <v>9</v>
      </c>
      <c r="B60" s="27" t="s">
        <v>87</v>
      </c>
      <c r="C60" s="28" t="s">
        <v>86</v>
      </c>
      <c r="D60" s="29"/>
      <c r="E60" s="18" t="s">
        <v>13</v>
      </c>
      <c r="F60" s="18" t="s">
        <v>14</v>
      </c>
      <c r="G60" s="18" t="s">
        <v>15</v>
      </c>
      <c r="H60" s="8"/>
      <c r="I60" s="9" t="str">
        <f t="shared" si="0"/>
        <v/>
      </c>
      <c r="J60" s="16">
        <v>0.1</v>
      </c>
      <c r="K60" s="30">
        <f>SUMPRODUCT(I60:I66,J60:J66)</f>
        <v>0</v>
      </c>
      <c r="L60" s="23"/>
    </row>
    <row r="61" spans="1:12" ht="58.5" customHeight="1" x14ac:dyDescent="0.3">
      <c r="A61" s="27"/>
      <c r="B61" s="27"/>
      <c r="C61" s="28"/>
      <c r="D61" s="29"/>
      <c r="E61" s="18" t="s">
        <v>17</v>
      </c>
      <c r="F61" s="18" t="s">
        <v>18</v>
      </c>
      <c r="G61" s="18" t="s">
        <v>19</v>
      </c>
      <c r="H61" s="8"/>
      <c r="I61" s="9" t="str">
        <f t="shared" si="0"/>
        <v/>
      </c>
      <c r="J61" s="16">
        <v>0.2</v>
      </c>
      <c r="K61" s="30"/>
      <c r="L61" s="24"/>
    </row>
    <row r="62" spans="1:12" ht="58.5" customHeight="1" x14ac:dyDescent="0.3">
      <c r="A62" s="27"/>
      <c r="B62" s="27"/>
      <c r="C62" s="28"/>
      <c r="D62" s="29"/>
      <c r="E62" s="18" t="s">
        <v>21</v>
      </c>
      <c r="F62" s="18" t="s">
        <v>22</v>
      </c>
      <c r="G62" s="18" t="s">
        <v>23</v>
      </c>
      <c r="H62" s="8"/>
      <c r="I62" s="9" t="str">
        <f t="shared" si="0"/>
        <v/>
      </c>
      <c r="J62" s="16">
        <v>0.2</v>
      </c>
      <c r="K62" s="30"/>
      <c r="L62" s="24"/>
    </row>
    <row r="63" spans="1:12" ht="58.5" customHeight="1" x14ac:dyDescent="0.3">
      <c r="A63" s="27"/>
      <c r="B63" s="27"/>
      <c r="C63" s="28"/>
      <c r="D63" s="29"/>
      <c r="E63" s="18" t="s">
        <v>25</v>
      </c>
      <c r="F63" s="18" t="s">
        <v>26</v>
      </c>
      <c r="G63" s="18" t="s">
        <v>27</v>
      </c>
      <c r="H63" s="8"/>
      <c r="I63" s="9" t="str">
        <f t="shared" si="0"/>
        <v/>
      </c>
      <c r="J63" s="16">
        <v>0.2</v>
      </c>
      <c r="K63" s="30"/>
      <c r="L63" s="24"/>
    </row>
    <row r="64" spans="1:12" ht="58.5" customHeight="1" x14ac:dyDescent="0.3">
      <c r="A64" s="27"/>
      <c r="B64" s="27"/>
      <c r="C64" s="28"/>
      <c r="D64" s="29"/>
      <c r="E64" s="18" t="s">
        <v>29</v>
      </c>
      <c r="F64" s="18" t="s">
        <v>30</v>
      </c>
      <c r="G64" s="18" t="s">
        <v>31</v>
      </c>
      <c r="H64" s="8"/>
      <c r="I64" s="9" t="str">
        <f t="shared" si="0"/>
        <v/>
      </c>
      <c r="J64" s="16">
        <v>0.15</v>
      </c>
      <c r="K64" s="30"/>
      <c r="L64" s="24"/>
    </row>
    <row r="65" spans="1:12" ht="58.5" customHeight="1" x14ac:dyDescent="0.3">
      <c r="A65" s="27"/>
      <c r="B65" s="27"/>
      <c r="C65" s="28"/>
      <c r="D65" s="29"/>
      <c r="E65" s="18" t="s">
        <v>33</v>
      </c>
      <c r="F65" s="18" t="s">
        <v>34</v>
      </c>
      <c r="G65" s="18" t="s">
        <v>35</v>
      </c>
      <c r="H65" s="8"/>
      <c r="I65" s="9" t="str">
        <f t="shared" si="0"/>
        <v/>
      </c>
      <c r="J65" s="16">
        <v>0.05</v>
      </c>
      <c r="K65" s="30"/>
      <c r="L65" s="24"/>
    </row>
    <row r="66" spans="1:12" ht="58.5" customHeight="1" x14ac:dyDescent="0.3">
      <c r="A66" s="27"/>
      <c r="B66" s="27"/>
      <c r="C66" s="28"/>
      <c r="D66" s="29"/>
      <c r="E66" s="18" t="s">
        <v>37</v>
      </c>
      <c r="F66" s="18" t="s">
        <v>38</v>
      </c>
      <c r="G66" s="18" t="s">
        <v>39</v>
      </c>
      <c r="H66" s="8"/>
      <c r="I66" s="9" t="str">
        <f t="shared" si="0"/>
        <v/>
      </c>
      <c r="J66" s="16">
        <v>0.1</v>
      </c>
      <c r="K66" s="30"/>
      <c r="L66" s="25"/>
    </row>
  </sheetData>
  <mergeCells count="60">
    <mergeCell ref="A1:A3"/>
    <mergeCell ref="B1:B3"/>
    <mergeCell ref="C1:C3"/>
    <mergeCell ref="D1:D3"/>
    <mergeCell ref="E1:L1"/>
    <mergeCell ref="I2:L2"/>
    <mergeCell ref="L4:L10"/>
    <mergeCell ref="A4:A10"/>
    <mergeCell ref="B4:B10"/>
    <mergeCell ref="C4:C10"/>
    <mergeCell ref="D4:D10"/>
    <mergeCell ref="K4:K10"/>
    <mergeCell ref="L18:L24"/>
    <mergeCell ref="L11:L17"/>
    <mergeCell ref="A18:A24"/>
    <mergeCell ref="B18:B24"/>
    <mergeCell ref="C18:C24"/>
    <mergeCell ref="D18:D24"/>
    <mergeCell ref="K18:K24"/>
    <mergeCell ref="A11:A17"/>
    <mergeCell ref="B11:B17"/>
    <mergeCell ref="C11:C17"/>
    <mergeCell ref="D11:D17"/>
    <mergeCell ref="K11:K17"/>
    <mergeCell ref="L32:L38"/>
    <mergeCell ref="L25:L31"/>
    <mergeCell ref="A32:A38"/>
    <mergeCell ref="B32:B38"/>
    <mergeCell ref="C32:C38"/>
    <mergeCell ref="D32:D38"/>
    <mergeCell ref="K32:K38"/>
    <mergeCell ref="A25:A31"/>
    <mergeCell ref="B25:B31"/>
    <mergeCell ref="C25:C31"/>
    <mergeCell ref="D25:D31"/>
    <mergeCell ref="K25:K31"/>
    <mergeCell ref="L46:L52"/>
    <mergeCell ref="L39:L45"/>
    <mergeCell ref="A46:A52"/>
    <mergeCell ref="B46:B52"/>
    <mergeCell ref="C46:C52"/>
    <mergeCell ref="D46:D52"/>
    <mergeCell ref="K46:K52"/>
    <mergeCell ref="A39:A45"/>
    <mergeCell ref="B39:B45"/>
    <mergeCell ref="C39:C45"/>
    <mergeCell ref="D39:D45"/>
    <mergeCell ref="K39:K45"/>
    <mergeCell ref="L60:L66"/>
    <mergeCell ref="L53:L59"/>
    <mergeCell ref="A60:A66"/>
    <mergeCell ref="B60:B66"/>
    <mergeCell ref="C60:C66"/>
    <mergeCell ref="D60:D66"/>
    <mergeCell ref="K60:K66"/>
    <mergeCell ref="A53:A59"/>
    <mergeCell ref="B53:B59"/>
    <mergeCell ref="C53:C59"/>
    <mergeCell ref="D53:D59"/>
    <mergeCell ref="K53:K59"/>
  </mergeCells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B76B3B2-712C-4224-AF77-5FA79DA61F0E}">
          <x14:formula1>
            <xm:f>Referensi!$F$26:$F$31</xm:f>
          </x14:formula1>
          <xm:sqref>H8 H15 H22 H29 H36 H43 H50 H57 H64</xm:sqref>
        </x14:dataValidation>
        <x14:dataValidation type="list" allowBlank="1" showInputMessage="1" showErrorMessage="1" xr:uid="{1FD024BE-93FB-465C-9E85-95EB196BDFFC}">
          <x14:formula1>
            <xm:f>Referensi!$F$32:$F$37</xm:f>
          </x14:formula1>
          <xm:sqref>H9 H16 H23 H30 H37 H44 H51 H58 H65</xm:sqref>
        </x14:dataValidation>
        <x14:dataValidation type="list" allowBlank="1" showInputMessage="1" showErrorMessage="1" xr:uid="{9B5F70CF-DDEE-4011-B136-65F0E2B9314C}">
          <x14:formula1>
            <xm:f>Referensi!$F$20:$F$25</xm:f>
          </x14:formula1>
          <xm:sqref>H7 H14 H21 H28 H35 H42 H49 H56 H63</xm:sqref>
        </x14:dataValidation>
        <x14:dataValidation type="list" allowBlank="1" showInputMessage="1" showErrorMessage="1" xr:uid="{FA319455-CE55-47AF-9A78-4B08EA652215}">
          <x14:formula1>
            <xm:f>Referensi!$F$14:$F$19</xm:f>
          </x14:formula1>
          <xm:sqref>H6 H13 H20 H27 H34 H41 H48 H55 H62</xm:sqref>
        </x14:dataValidation>
        <x14:dataValidation type="list" allowBlank="1" showInputMessage="1" showErrorMessage="1" xr:uid="{A731F50A-AAEB-48BF-B16A-50F157AF6E5E}">
          <x14:formula1>
            <xm:f>Referensi!$F$8:$F$13</xm:f>
          </x14:formula1>
          <xm:sqref>H5 H12 H19 H26 H33 H40 H47 H54 H61</xm:sqref>
        </x14:dataValidation>
        <x14:dataValidation type="list" allowBlank="1" showInputMessage="1" showErrorMessage="1" xr:uid="{7F217378-50DD-4A69-9663-CA14972D1D71}">
          <x14:formula1>
            <xm:f>Referensi!$F$38:$F$43</xm:f>
          </x14:formula1>
          <xm:sqref>H10 H17 H24 H31 H38 H45 H52 H59 H66</xm:sqref>
        </x14:dataValidation>
        <x14:dataValidation type="list" allowBlank="1" showInputMessage="1" showErrorMessage="1" xr:uid="{499B7B4B-2725-4655-9760-4209112475D3}">
          <x14:formula1>
            <xm:f>Referensi!$F$2:$F$7</xm:f>
          </x14:formula1>
          <xm:sqref>H4 H11 H18 H25 H32 H39 H46 H53 H60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5EF4-8C94-4A28-B71A-3A5A5103711D}">
  <dimension ref="A1:G43"/>
  <sheetViews>
    <sheetView topLeftCell="E1" workbookViewId="0">
      <selection activeCell="F7" sqref="F7"/>
    </sheetView>
  </sheetViews>
  <sheetFormatPr defaultColWidth="9.21875" defaultRowHeight="15" customHeight="1" x14ac:dyDescent="0.3"/>
  <cols>
    <col min="1" max="1" width="3.44140625" customWidth="1"/>
    <col min="2" max="2" width="17.77734375" customWidth="1"/>
    <col min="3" max="4" width="26" customWidth="1"/>
    <col min="6" max="6" width="101.21875" customWidth="1"/>
  </cols>
  <sheetData>
    <row r="1" spans="1:7" ht="14.4" x14ac:dyDescent="0.3">
      <c r="A1" s="4" t="s">
        <v>54</v>
      </c>
      <c r="B1" s="4" t="s">
        <v>5</v>
      </c>
      <c r="C1" s="4" t="s">
        <v>6</v>
      </c>
      <c r="D1" s="4" t="s">
        <v>7</v>
      </c>
      <c r="E1" s="4" t="s">
        <v>9</v>
      </c>
      <c r="F1" s="11" t="s">
        <v>55</v>
      </c>
      <c r="G1" s="4" t="s">
        <v>10</v>
      </c>
    </row>
    <row r="2" spans="1:7" ht="15" customHeight="1" x14ac:dyDescent="0.3">
      <c r="A2" s="38">
        <v>1</v>
      </c>
      <c r="B2" s="38" t="s">
        <v>13</v>
      </c>
      <c r="C2" s="37" t="s">
        <v>14</v>
      </c>
      <c r="D2" s="37" t="s">
        <v>15</v>
      </c>
      <c r="E2" s="5">
        <v>0</v>
      </c>
      <c r="F2" s="10" t="s">
        <v>56</v>
      </c>
      <c r="G2" s="36">
        <v>0.1</v>
      </c>
    </row>
    <row r="3" spans="1:7" ht="14.4" x14ac:dyDescent="0.3">
      <c r="A3" s="38"/>
      <c r="B3" s="38"/>
      <c r="C3" s="37"/>
      <c r="D3" s="37"/>
      <c r="E3" s="5">
        <v>20</v>
      </c>
      <c r="F3" s="10" t="s">
        <v>57</v>
      </c>
      <c r="G3" s="36"/>
    </row>
    <row r="4" spans="1:7" ht="14.4" x14ac:dyDescent="0.3">
      <c r="A4" s="38"/>
      <c r="B4" s="38"/>
      <c r="C4" s="37"/>
      <c r="D4" s="37"/>
      <c r="E4" s="5">
        <v>40</v>
      </c>
      <c r="F4" s="10" t="s">
        <v>58</v>
      </c>
      <c r="G4" s="36"/>
    </row>
    <row r="5" spans="1:7" ht="14.4" x14ac:dyDescent="0.3">
      <c r="A5" s="38"/>
      <c r="B5" s="38"/>
      <c r="C5" s="37"/>
      <c r="D5" s="37"/>
      <c r="E5" s="5">
        <v>60</v>
      </c>
      <c r="F5" s="10" t="s">
        <v>53</v>
      </c>
      <c r="G5" s="36"/>
    </row>
    <row r="6" spans="1:7" ht="14.4" x14ac:dyDescent="0.3">
      <c r="A6" s="38"/>
      <c r="B6" s="38"/>
      <c r="C6" s="37"/>
      <c r="D6" s="37"/>
      <c r="E6" s="5">
        <v>80</v>
      </c>
      <c r="F6" s="10" t="s">
        <v>16</v>
      </c>
      <c r="G6" s="36"/>
    </row>
    <row r="7" spans="1:7" ht="15" customHeight="1" x14ac:dyDescent="0.3">
      <c r="A7" s="38"/>
      <c r="B7" s="38"/>
      <c r="C7" s="37"/>
      <c r="D7" s="37"/>
      <c r="E7" s="5">
        <v>100</v>
      </c>
      <c r="F7" s="10" t="s">
        <v>52</v>
      </c>
      <c r="G7" s="36"/>
    </row>
    <row r="8" spans="1:7" ht="14.4" x14ac:dyDescent="0.3">
      <c r="A8" s="39">
        <v>2</v>
      </c>
      <c r="B8" s="39" t="s">
        <v>17</v>
      </c>
      <c r="C8" s="40" t="s">
        <v>18</v>
      </c>
      <c r="D8" s="40" t="s">
        <v>19</v>
      </c>
      <c r="E8" s="6">
        <v>0</v>
      </c>
      <c r="F8" s="12" t="s">
        <v>59</v>
      </c>
      <c r="G8" s="41">
        <v>0.2</v>
      </c>
    </row>
    <row r="9" spans="1:7" ht="14.4" x14ac:dyDescent="0.3">
      <c r="A9" s="39"/>
      <c r="B9" s="39"/>
      <c r="C9" s="40"/>
      <c r="D9" s="40"/>
      <c r="E9" s="6">
        <v>20</v>
      </c>
      <c r="F9" s="12" t="s">
        <v>60</v>
      </c>
      <c r="G9" s="41"/>
    </row>
    <row r="10" spans="1:7" ht="15" customHeight="1" x14ac:dyDescent="0.3">
      <c r="A10" s="39"/>
      <c r="B10" s="39"/>
      <c r="C10" s="40"/>
      <c r="D10" s="40"/>
      <c r="E10" s="6">
        <v>40</v>
      </c>
      <c r="F10" s="12" t="s">
        <v>61</v>
      </c>
      <c r="G10" s="41"/>
    </row>
    <row r="11" spans="1:7" ht="14.4" x14ac:dyDescent="0.3">
      <c r="A11" s="39"/>
      <c r="B11" s="39"/>
      <c r="C11" s="40"/>
      <c r="D11" s="40"/>
      <c r="E11" s="6">
        <v>60</v>
      </c>
      <c r="F11" s="12" t="s">
        <v>20</v>
      </c>
      <c r="G11" s="41"/>
    </row>
    <row r="12" spans="1:7" ht="14.4" x14ac:dyDescent="0.3">
      <c r="A12" s="39"/>
      <c r="B12" s="39"/>
      <c r="C12" s="40"/>
      <c r="D12" s="40"/>
      <c r="E12" s="6">
        <v>80</v>
      </c>
      <c r="F12" s="12" t="s">
        <v>41</v>
      </c>
      <c r="G12" s="41"/>
    </row>
    <row r="13" spans="1:7" ht="14.4" x14ac:dyDescent="0.3">
      <c r="A13" s="39"/>
      <c r="B13" s="39"/>
      <c r="C13" s="40"/>
      <c r="D13" s="40"/>
      <c r="E13" s="6">
        <v>100</v>
      </c>
      <c r="F13" s="12" t="s">
        <v>62</v>
      </c>
      <c r="G13" s="41"/>
    </row>
    <row r="14" spans="1:7" ht="14.4" x14ac:dyDescent="0.3">
      <c r="A14" s="38">
        <v>3</v>
      </c>
      <c r="B14" s="38" t="s">
        <v>21</v>
      </c>
      <c r="C14" s="37" t="s">
        <v>22</v>
      </c>
      <c r="D14" s="37" t="s">
        <v>23</v>
      </c>
      <c r="E14" s="5">
        <v>0</v>
      </c>
      <c r="F14" s="13" t="s">
        <v>63</v>
      </c>
      <c r="G14" s="36">
        <v>0.2</v>
      </c>
    </row>
    <row r="15" spans="1:7" ht="15" customHeight="1" x14ac:dyDescent="0.3">
      <c r="A15" s="38"/>
      <c r="B15" s="38"/>
      <c r="C15" s="37"/>
      <c r="D15" s="37"/>
      <c r="E15" s="5">
        <v>20</v>
      </c>
      <c r="F15" s="13" t="s">
        <v>64</v>
      </c>
      <c r="G15" s="36"/>
    </row>
    <row r="16" spans="1:7" ht="14.4" x14ac:dyDescent="0.3">
      <c r="A16" s="38"/>
      <c r="B16" s="38"/>
      <c r="C16" s="37"/>
      <c r="D16" s="37"/>
      <c r="E16" s="5">
        <v>40</v>
      </c>
      <c r="F16" s="13" t="s">
        <v>49</v>
      </c>
      <c r="G16" s="36"/>
    </row>
    <row r="17" spans="1:7" ht="14.4" x14ac:dyDescent="0.3">
      <c r="A17" s="38"/>
      <c r="B17" s="38"/>
      <c r="C17" s="37"/>
      <c r="D17" s="37"/>
      <c r="E17" s="5">
        <v>60</v>
      </c>
      <c r="F17" s="13" t="s">
        <v>48</v>
      </c>
      <c r="G17" s="36"/>
    </row>
    <row r="18" spans="1:7" ht="14.4" x14ac:dyDescent="0.3">
      <c r="A18" s="38"/>
      <c r="B18" s="38"/>
      <c r="C18" s="37"/>
      <c r="D18" s="37"/>
      <c r="E18" s="5">
        <v>80</v>
      </c>
      <c r="F18" s="13" t="s">
        <v>24</v>
      </c>
      <c r="G18" s="36"/>
    </row>
    <row r="19" spans="1:7" ht="14.4" x14ac:dyDescent="0.3">
      <c r="A19" s="38"/>
      <c r="B19" s="38"/>
      <c r="C19" s="37"/>
      <c r="D19" s="37"/>
      <c r="E19" s="5">
        <v>100</v>
      </c>
      <c r="F19" s="13" t="s">
        <v>50</v>
      </c>
      <c r="G19" s="36"/>
    </row>
    <row r="20" spans="1:7" ht="15" customHeight="1" x14ac:dyDescent="0.3">
      <c r="A20" s="39">
        <v>4</v>
      </c>
      <c r="B20" s="39" t="s">
        <v>25</v>
      </c>
      <c r="C20" s="40" t="s">
        <v>26</v>
      </c>
      <c r="D20" s="40" t="s">
        <v>27</v>
      </c>
      <c r="E20" s="6">
        <v>0</v>
      </c>
      <c r="F20" s="12" t="s">
        <v>65</v>
      </c>
      <c r="G20" s="41">
        <v>0.2</v>
      </c>
    </row>
    <row r="21" spans="1:7" ht="15" customHeight="1" x14ac:dyDescent="0.3">
      <c r="A21" s="39"/>
      <c r="B21" s="39"/>
      <c r="C21" s="40"/>
      <c r="D21" s="40"/>
      <c r="E21" s="6">
        <v>20</v>
      </c>
      <c r="F21" s="12" t="s">
        <v>66</v>
      </c>
      <c r="G21" s="41"/>
    </row>
    <row r="22" spans="1:7" ht="15" customHeight="1" x14ac:dyDescent="0.3">
      <c r="A22" s="39"/>
      <c r="B22" s="39"/>
      <c r="C22" s="40"/>
      <c r="D22" s="40"/>
      <c r="E22" s="6">
        <v>40</v>
      </c>
      <c r="F22" s="12" t="s">
        <v>67</v>
      </c>
      <c r="G22" s="41"/>
    </row>
    <row r="23" spans="1:7" ht="15" customHeight="1" x14ac:dyDescent="0.3">
      <c r="A23" s="39"/>
      <c r="B23" s="39"/>
      <c r="C23" s="40"/>
      <c r="D23" s="40"/>
      <c r="E23" s="6">
        <v>60</v>
      </c>
      <c r="F23" s="12" t="s">
        <v>46</v>
      </c>
      <c r="G23" s="41"/>
    </row>
    <row r="24" spans="1:7" ht="15" customHeight="1" x14ac:dyDescent="0.3">
      <c r="A24" s="39"/>
      <c r="B24" s="39"/>
      <c r="C24" s="40"/>
      <c r="D24" s="40"/>
      <c r="E24" s="6">
        <v>80</v>
      </c>
      <c r="F24" s="12" t="s">
        <v>28</v>
      </c>
      <c r="G24" s="41"/>
    </row>
    <row r="25" spans="1:7" ht="15" customHeight="1" x14ac:dyDescent="0.3">
      <c r="A25" s="39"/>
      <c r="B25" s="39"/>
      <c r="C25" s="40"/>
      <c r="D25" s="40"/>
      <c r="E25" s="6">
        <v>100</v>
      </c>
      <c r="F25" s="12" t="s">
        <v>42</v>
      </c>
      <c r="G25" s="41"/>
    </row>
    <row r="26" spans="1:7" ht="15" customHeight="1" x14ac:dyDescent="0.3">
      <c r="A26" s="38">
        <v>5</v>
      </c>
      <c r="B26" s="38" t="s">
        <v>29</v>
      </c>
      <c r="C26" s="37" t="s">
        <v>30</v>
      </c>
      <c r="D26" s="37" t="s">
        <v>31</v>
      </c>
      <c r="E26" s="5">
        <v>0</v>
      </c>
      <c r="F26" s="13" t="s">
        <v>68</v>
      </c>
      <c r="G26" s="36">
        <v>0.15</v>
      </c>
    </row>
    <row r="27" spans="1:7" ht="15" customHeight="1" x14ac:dyDescent="0.3">
      <c r="A27" s="38"/>
      <c r="B27" s="38"/>
      <c r="C27" s="37"/>
      <c r="D27" s="37"/>
      <c r="E27" s="5">
        <v>20</v>
      </c>
      <c r="F27" s="13" t="s">
        <v>69</v>
      </c>
      <c r="G27" s="36"/>
    </row>
    <row r="28" spans="1:7" ht="15" customHeight="1" x14ac:dyDescent="0.3">
      <c r="A28" s="38"/>
      <c r="B28" s="38"/>
      <c r="C28" s="37"/>
      <c r="D28" s="37"/>
      <c r="E28" s="5">
        <v>40</v>
      </c>
      <c r="F28" s="13" t="s">
        <v>70</v>
      </c>
      <c r="G28" s="36"/>
    </row>
    <row r="29" spans="1:7" ht="15" customHeight="1" x14ac:dyDescent="0.3">
      <c r="A29" s="38"/>
      <c r="B29" s="38"/>
      <c r="C29" s="37"/>
      <c r="D29" s="37"/>
      <c r="E29" s="5">
        <v>60</v>
      </c>
      <c r="F29" s="13" t="s">
        <v>32</v>
      </c>
      <c r="G29" s="36"/>
    </row>
    <row r="30" spans="1:7" ht="15" customHeight="1" x14ac:dyDescent="0.3">
      <c r="A30" s="38"/>
      <c r="B30" s="38"/>
      <c r="C30" s="37"/>
      <c r="D30" s="37"/>
      <c r="E30" s="5">
        <v>80</v>
      </c>
      <c r="F30" s="13" t="s">
        <v>43</v>
      </c>
      <c r="G30" s="36"/>
    </row>
    <row r="31" spans="1:7" ht="15" customHeight="1" x14ac:dyDescent="0.3">
      <c r="A31" s="38"/>
      <c r="B31" s="38"/>
      <c r="C31" s="37"/>
      <c r="D31" s="37"/>
      <c r="E31" s="5">
        <v>100</v>
      </c>
      <c r="F31" s="13" t="s">
        <v>51</v>
      </c>
      <c r="G31" s="36"/>
    </row>
    <row r="32" spans="1:7" ht="15" customHeight="1" x14ac:dyDescent="0.3">
      <c r="A32" s="39">
        <v>6</v>
      </c>
      <c r="B32" s="39" t="s">
        <v>33</v>
      </c>
      <c r="C32" s="40" t="s">
        <v>34</v>
      </c>
      <c r="D32" s="40" t="s">
        <v>35</v>
      </c>
      <c r="E32" s="6">
        <v>0</v>
      </c>
      <c r="F32" s="12" t="s">
        <v>71</v>
      </c>
      <c r="G32" s="41">
        <v>0.05</v>
      </c>
    </row>
    <row r="33" spans="1:7" ht="15" customHeight="1" x14ac:dyDescent="0.3">
      <c r="A33" s="39"/>
      <c r="B33" s="39"/>
      <c r="C33" s="40"/>
      <c r="D33" s="40"/>
      <c r="E33" s="6">
        <v>20</v>
      </c>
      <c r="F33" s="12" t="s">
        <v>72</v>
      </c>
      <c r="G33" s="41"/>
    </row>
    <row r="34" spans="1:7" ht="15" customHeight="1" x14ac:dyDescent="0.3">
      <c r="A34" s="39"/>
      <c r="B34" s="39"/>
      <c r="C34" s="40"/>
      <c r="D34" s="40"/>
      <c r="E34" s="6">
        <v>40</v>
      </c>
      <c r="F34" s="12" t="s">
        <v>47</v>
      </c>
      <c r="G34" s="41"/>
    </row>
    <row r="35" spans="1:7" ht="15" customHeight="1" x14ac:dyDescent="0.3">
      <c r="A35" s="39"/>
      <c r="B35" s="39"/>
      <c r="C35" s="40"/>
      <c r="D35" s="40"/>
      <c r="E35" s="6">
        <v>60</v>
      </c>
      <c r="F35" s="12" t="s">
        <v>36</v>
      </c>
      <c r="G35" s="41"/>
    </row>
    <row r="36" spans="1:7" ht="15" customHeight="1" x14ac:dyDescent="0.3">
      <c r="A36" s="39"/>
      <c r="B36" s="39"/>
      <c r="C36" s="40"/>
      <c r="D36" s="40"/>
      <c r="E36" s="6">
        <v>80</v>
      </c>
      <c r="F36" s="12" t="s">
        <v>44</v>
      </c>
      <c r="G36" s="41"/>
    </row>
    <row r="37" spans="1:7" ht="15" customHeight="1" x14ac:dyDescent="0.3">
      <c r="A37" s="39"/>
      <c r="B37" s="39"/>
      <c r="C37" s="40"/>
      <c r="D37" s="40"/>
      <c r="E37" s="6">
        <v>100</v>
      </c>
      <c r="F37" s="12" t="s">
        <v>73</v>
      </c>
      <c r="G37" s="41"/>
    </row>
    <row r="38" spans="1:7" ht="15" customHeight="1" x14ac:dyDescent="0.3">
      <c r="A38" s="38">
        <v>7</v>
      </c>
      <c r="B38" s="38" t="s">
        <v>37</v>
      </c>
      <c r="C38" s="37" t="s">
        <v>38</v>
      </c>
      <c r="D38" s="37" t="s">
        <v>39</v>
      </c>
      <c r="E38" s="5">
        <v>0</v>
      </c>
      <c r="F38" s="13" t="s">
        <v>74</v>
      </c>
      <c r="G38" s="36">
        <v>0.1</v>
      </c>
    </row>
    <row r="39" spans="1:7" ht="15" customHeight="1" x14ac:dyDescent="0.3">
      <c r="A39" s="38"/>
      <c r="B39" s="38"/>
      <c r="C39" s="37"/>
      <c r="D39" s="37"/>
      <c r="E39" s="5">
        <v>20</v>
      </c>
      <c r="F39" s="13" t="s">
        <v>75</v>
      </c>
      <c r="G39" s="36"/>
    </row>
    <row r="40" spans="1:7" ht="15" customHeight="1" x14ac:dyDescent="0.3">
      <c r="A40" s="38"/>
      <c r="B40" s="38"/>
      <c r="C40" s="37"/>
      <c r="D40" s="37"/>
      <c r="E40" s="5">
        <v>40</v>
      </c>
      <c r="F40" s="13" t="s">
        <v>76</v>
      </c>
      <c r="G40" s="36"/>
    </row>
    <row r="41" spans="1:7" ht="15" customHeight="1" x14ac:dyDescent="0.3">
      <c r="A41" s="38"/>
      <c r="B41" s="38"/>
      <c r="C41" s="37"/>
      <c r="D41" s="37"/>
      <c r="E41" s="5">
        <v>60</v>
      </c>
      <c r="F41" s="13" t="s">
        <v>40</v>
      </c>
      <c r="G41" s="36"/>
    </row>
    <row r="42" spans="1:7" ht="15" customHeight="1" x14ac:dyDescent="0.3">
      <c r="A42" s="38"/>
      <c r="B42" s="38"/>
      <c r="C42" s="37"/>
      <c r="D42" s="37"/>
      <c r="E42" s="5">
        <v>80</v>
      </c>
      <c r="F42" s="13" t="s">
        <v>45</v>
      </c>
      <c r="G42" s="36"/>
    </row>
    <row r="43" spans="1:7" ht="15" customHeight="1" x14ac:dyDescent="0.3">
      <c r="A43" s="38"/>
      <c r="B43" s="38"/>
      <c r="C43" s="37"/>
      <c r="D43" s="37"/>
      <c r="E43" s="5">
        <v>100</v>
      </c>
      <c r="F43" s="13" t="s">
        <v>77</v>
      </c>
      <c r="G43" s="36"/>
    </row>
  </sheetData>
  <mergeCells count="35">
    <mergeCell ref="A20:A25"/>
    <mergeCell ref="A26:A31"/>
    <mergeCell ref="A32:A37"/>
    <mergeCell ref="A38:A43"/>
    <mergeCell ref="B32:B37"/>
    <mergeCell ref="B20:B25"/>
    <mergeCell ref="C32:C37"/>
    <mergeCell ref="G32:G37"/>
    <mergeCell ref="B38:B43"/>
    <mergeCell ref="C38:C43"/>
    <mergeCell ref="G38:G43"/>
    <mergeCell ref="D32:D37"/>
    <mergeCell ref="D38:D43"/>
    <mergeCell ref="C20:C25"/>
    <mergeCell ref="D20:D25"/>
    <mergeCell ref="G20:G25"/>
    <mergeCell ref="B26:B31"/>
    <mergeCell ref="C26:C31"/>
    <mergeCell ref="G26:G31"/>
    <mergeCell ref="D26:D31"/>
    <mergeCell ref="G14:G19"/>
    <mergeCell ref="D14:D19"/>
    <mergeCell ref="A2:A7"/>
    <mergeCell ref="A8:A13"/>
    <mergeCell ref="A14:A19"/>
    <mergeCell ref="B14:B19"/>
    <mergeCell ref="C14:C19"/>
    <mergeCell ref="B8:B13"/>
    <mergeCell ref="C8:C13"/>
    <mergeCell ref="B2:B7"/>
    <mergeCell ref="C2:C7"/>
    <mergeCell ref="G2:G7"/>
    <mergeCell ref="D2:D7"/>
    <mergeCell ref="D8:D13"/>
    <mergeCell ref="G8:G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348379-8a08-4009-9403-ffac30e17ba8">
      <Terms xmlns="http://schemas.microsoft.com/office/infopath/2007/PartnerControls"/>
    </lcf76f155ced4ddcb4097134ff3c332f>
    <TaxCatchAll xmlns="6b4adb42-17e6-4d0d-ae38-9499771f5b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3F85227816544AEA6B4EC9D20F412" ma:contentTypeVersion="16" ma:contentTypeDescription="Create a new document." ma:contentTypeScope="" ma:versionID="221c4dbf5a2c80f4f9e649643a13cb91">
  <xsd:schema xmlns:xsd="http://www.w3.org/2001/XMLSchema" xmlns:xs="http://www.w3.org/2001/XMLSchema" xmlns:p="http://schemas.microsoft.com/office/2006/metadata/properties" xmlns:ns2="4d348379-8a08-4009-9403-ffac30e17ba8" xmlns:ns3="6b4adb42-17e6-4d0d-ae38-9499771f5b3c" targetNamespace="http://schemas.microsoft.com/office/2006/metadata/properties" ma:root="true" ma:fieldsID="b42c0a18d6c290354f8089985e805722" ns2:_="" ns3:_="">
    <xsd:import namespace="4d348379-8a08-4009-9403-ffac30e17ba8"/>
    <xsd:import namespace="6b4adb42-17e6-4d0d-ae38-9499771f5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48379-8a08-4009-9403-ffac30e17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999ff3-bda3-42a5-bb80-3c12ca5d6d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4adb42-17e6-4d0d-ae38-9499771f5b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ed3cda-f227-4855-9ae5-9e33753d12e8}" ma:internalName="TaxCatchAll" ma:showField="CatchAllData" ma:web="6b4adb42-17e6-4d0d-ae38-9499771f5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CCF1C-DECB-49C9-AFC4-BC785EB2746C}">
  <ds:schemaRefs>
    <ds:schemaRef ds:uri="http://schemas.microsoft.com/office/2006/metadata/properties"/>
    <ds:schemaRef ds:uri="http://schemas.microsoft.com/office/infopath/2007/PartnerControls"/>
    <ds:schemaRef ds:uri="4d348379-8a08-4009-9403-ffac30e17ba8"/>
    <ds:schemaRef ds:uri="6b4adb42-17e6-4d0d-ae38-9499771f5b3c"/>
  </ds:schemaRefs>
</ds:datastoreItem>
</file>

<file path=customXml/itemProps2.xml><?xml version="1.0" encoding="utf-8"?>
<ds:datastoreItem xmlns:ds="http://schemas.openxmlformats.org/officeDocument/2006/customXml" ds:itemID="{F5B611C2-D778-4CC0-9853-82F2459E3B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228DDF-6E53-4D4D-8448-2A8B1204D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348379-8a08-4009-9403-ffac30e17ba8"/>
    <ds:schemaRef ds:uri="6b4adb42-17e6-4d0d-ae38-9499771f5b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</vt:lpstr>
      <vt:lpstr>Referensi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Herlia Pratiwi</dc:creator>
  <cp:keywords/>
  <dc:description/>
  <cp:lastModifiedBy>I GEDE AGUNG WIJAYA DHARMAPUTRA</cp:lastModifiedBy>
  <cp:revision/>
  <dcterms:created xsi:type="dcterms:W3CDTF">2023-08-22T00:26:58Z</dcterms:created>
  <dcterms:modified xsi:type="dcterms:W3CDTF">2026-08-12T04:43:32Z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0x0101001863F85227816544AEA6B4EC9D20F412</vt:lpwstr>
  </property>
  <property fmtid="{D5CDD505-2E9C-101B-9397-08002B2CF9AE}" pid="3" name="MediaServiceImageTags">
    <vt:lpwstr/>
  </property>
</Properties>
</file>